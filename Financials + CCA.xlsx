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ystead/Desktop/"/>
    </mc:Choice>
  </mc:AlternateContent>
  <xr:revisionPtr revIDLastSave="0" documentId="13_ncr:1_{D65EB009-A09F-064A-B106-6104C120E1D9}" xr6:coauthVersionLast="47" xr6:coauthVersionMax="47" xr10:uidLastSave="{00000000-0000-0000-0000-000000000000}"/>
  <bookViews>
    <workbookView xWindow="0" yWindow="580" windowWidth="25600" windowHeight="14880" activeTab="2" xr2:uid="{00000000-000D-0000-FFFF-FFFF00000000}"/>
  </bookViews>
  <sheets>
    <sheet name="Target Financials" sheetId="1" r:id="rId1"/>
    <sheet name="CCA" sheetId="2" r:id="rId2"/>
    <sheet name="Valuation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25" i="3"/>
  <c r="D6" i="3"/>
  <c r="F6" i="3" s="1"/>
  <c r="D7" i="3"/>
  <c r="D8" i="3"/>
  <c r="H8" i="3" s="1"/>
  <c r="D9" i="3"/>
  <c r="D10" i="3"/>
  <c r="F10" i="3" s="1"/>
  <c r="D5" i="3"/>
  <c r="F5" i="3" s="1"/>
  <c r="G10" i="3"/>
  <c r="G9" i="3"/>
  <c r="G8" i="3"/>
  <c r="G7" i="3"/>
  <c r="G6" i="3"/>
  <c r="G5" i="3"/>
  <c r="L11" i="2"/>
  <c r="L9" i="2"/>
  <c r="K9" i="2"/>
  <c r="L5" i="2"/>
  <c r="K5" i="2"/>
  <c r="K11" i="2"/>
  <c r="I10" i="2"/>
  <c r="I8" i="2"/>
  <c r="I7" i="2"/>
  <c r="J4" i="2"/>
  <c r="K4" i="2" s="1"/>
  <c r="J6" i="2"/>
  <c r="K6" i="2" s="1"/>
  <c r="J3" i="2"/>
  <c r="K3" i="2" s="1"/>
  <c r="G10" i="2"/>
  <c r="J10" i="2" s="1"/>
  <c r="L10" i="2" s="1"/>
  <c r="E10" i="2"/>
  <c r="G8" i="2"/>
  <c r="J8" i="2" s="1"/>
  <c r="G7" i="2"/>
  <c r="J7" i="2" s="1"/>
  <c r="E8" i="2"/>
  <c r="E7" i="2"/>
  <c r="D1048556" i="1"/>
  <c r="B1048556" i="1"/>
  <c r="H7" i="3" l="1"/>
  <c r="D11" i="3"/>
  <c r="D24" i="3" s="1"/>
  <c r="H9" i="3"/>
  <c r="F9" i="3"/>
  <c r="I9" i="3" s="1"/>
  <c r="H6" i="3"/>
  <c r="I6" i="3" s="1"/>
  <c r="F7" i="3"/>
  <c r="I7" i="3" s="1"/>
  <c r="F8" i="3"/>
  <c r="I8" i="3" s="1"/>
  <c r="H5" i="3"/>
  <c r="H10" i="3"/>
  <c r="I10" i="3" s="1"/>
  <c r="L7" i="2"/>
  <c r="L8" i="2"/>
  <c r="L3" i="2"/>
  <c r="L6" i="2"/>
  <c r="L4" i="2"/>
  <c r="K10" i="2"/>
  <c r="K7" i="2"/>
  <c r="K8" i="2"/>
  <c r="I5" i="3" l="1"/>
  <c r="I11" i="3" s="1"/>
  <c r="H11" i="3"/>
  <c r="F11" i="3"/>
</calcChain>
</file>

<file path=xl/sharedStrings.xml><?xml version="1.0" encoding="utf-8"?>
<sst xmlns="http://schemas.openxmlformats.org/spreadsheetml/2006/main" count="107" uniqueCount="66">
  <si>
    <t>Company</t>
  </si>
  <si>
    <t>Revenue (£)</t>
  </si>
  <si>
    <t>Operating Profit / EBIT (£)</t>
  </si>
  <si>
    <t>EBITDA Derived (£)</t>
  </si>
  <si>
    <t>EBITDA Margin (%)</t>
  </si>
  <si>
    <t>Cash &amp; Equivalents (£)</t>
  </si>
  <si>
    <t>Total Borrowings (£)</t>
  </si>
  <si>
    <t>Net Debt (£)</t>
  </si>
  <si>
    <t>Average Employees</t>
  </si>
  <si>
    <t>ParkingEye</t>
  </si>
  <si>
    <t>TMA Group</t>
  </si>
  <si>
    <t>Yellow Line Parking (AppyWay)</t>
  </si>
  <si>
    <t>Ebbon Group</t>
  </si>
  <si>
    <t>FleetCheck</t>
  </si>
  <si>
    <t>Joju Charging</t>
  </si>
  <si>
    <t xml:space="preserve">Because TMA group includes bits I don’t want to buy I have to look at the entire holdcos financials </t>
  </si>
  <si>
    <r>
      <t xml:space="preserve">If your platform </t>
    </r>
    <r>
      <rPr>
        <i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wants to buy the EV charging infrastructure network segment, you explain this in your narrative text. You write that the acquisition will be structured as a </t>
    </r>
    <r>
      <rPr>
        <b/>
        <sz val="11"/>
        <color theme="1"/>
        <rFont val="Calibri"/>
        <family val="2"/>
        <scheme val="minor"/>
      </rPr>
      <t>"Carve-Out Deal"</t>
    </r>
    <r>
      <rPr>
        <sz val="11"/>
        <color theme="1"/>
        <rFont val="Calibri"/>
        <family val="2"/>
        <scheme val="minor"/>
      </rPr>
      <t xml:space="preserve">. </t>
    </r>
  </si>
  <si>
    <t>Your private equity platform will only buy the EV contracts, technology assets, and engineering staff, leaving the traditional rooftop solar panel installation business with the original founders.</t>
  </si>
  <si>
    <t>The transaction will be structured either as a direct share purchase of the core operating subsidiary or via a structured asset carve-out to ensure the platform assumes zero legacy holding-company liabilities.</t>
  </si>
  <si>
    <t>Company Name + Ticker</t>
  </si>
  <si>
    <t xml:space="preserve">Exchnange </t>
  </si>
  <si>
    <t>Revenue Growth (Y-o-Y %)</t>
  </si>
  <si>
    <t xml:space="preserve">EV / Revenue </t>
  </si>
  <si>
    <t>EV / EBITDA</t>
  </si>
  <si>
    <t>PayPoint (PAY)</t>
  </si>
  <si>
    <t>Byte Technology Group (BYIT)</t>
  </si>
  <si>
    <t>Vianet Group (VNET)</t>
  </si>
  <si>
    <t>Verra Mobility (VRRM)</t>
  </si>
  <si>
    <t>LSE</t>
  </si>
  <si>
    <t>NASDAQ</t>
  </si>
  <si>
    <t>Descartes Systems (DSGX)</t>
  </si>
  <si>
    <t>Alfen Beheer (ALFEN)</t>
  </si>
  <si>
    <t>AMS</t>
  </si>
  <si>
    <t>Segment</t>
  </si>
  <si>
    <t xml:space="preserve">EV infrastracture </t>
  </si>
  <si>
    <t>Mobility Payments 
&amp; Enforcement</t>
  </si>
  <si>
    <t>B2B Fleet 
&amp; Automotive SaaS</t>
  </si>
  <si>
    <t>Notes to self - reason why each comparable is relevant</t>
  </si>
  <si>
    <t>$1 = £0.75</t>
  </si>
  <si>
    <t>€1 = £0.87</t>
  </si>
  <si>
    <t>Revenue (£m)</t>
  </si>
  <si>
    <t>Market Cap (£m)</t>
  </si>
  <si>
    <t>Net Debt (£m)</t>
  </si>
  <si>
    <t>EBITDA (£m)</t>
  </si>
  <si>
    <t>Enterprise Value (£m)</t>
  </si>
  <si>
    <t xml:space="preserve">Segment Average </t>
  </si>
  <si>
    <t>-</t>
  </si>
  <si>
    <t>Target Company</t>
  </si>
  <si>
    <t>Target Multiple (Acquisition x)</t>
  </si>
  <si>
    <t>Purchase Enterprise Value (£m)</t>
  </si>
  <si>
    <t>Public Peer Multiple (EBITDA x)</t>
  </si>
  <si>
    <t>Implied Public Market Value (£m)</t>
  </si>
  <si>
    <t>6.00x</t>
  </si>
  <si>
    <t>Valuation Arbitrage (£m)</t>
  </si>
  <si>
    <t>the wider market is experiencing depressed valuations. Hence the current target mutliples are very conserative and we can expect substantial long term multiple expansion.</t>
  </si>
  <si>
    <t xml:space="preserve">Bank Interest Rate </t>
  </si>
  <si>
    <t>Debt Term (years)</t>
  </si>
  <si>
    <t>Max Debt Capacity (£m) (Leverage Method)</t>
  </si>
  <si>
    <t>Max Leverage Rule</t>
  </si>
  <si>
    <t>Bank Lending Assuptions</t>
  </si>
  <si>
    <t>Valuation &amp; Levarage Summary Dashboard</t>
  </si>
  <si>
    <t>Debt Capacity &amp; Sizing Analysis</t>
  </si>
  <si>
    <t>Annual Interest Expense (£m)</t>
  </si>
  <si>
    <t>Implied DSCR</t>
  </si>
  <si>
    <t>Portfolio Total</t>
  </si>
  <si>
    <t xml:space="preserve">Note: Public peer trading multiples are currently compressed across mid-market tech and B2B SaaS. While index performance appears strong this is concentrated amongst semiconductor and AI infrastructure winners. Excluding these outliers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</si>
</sst>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&quot;£&quot;#,##0.00"/>
    <numFmt numFmtId="166" formatCode="0.00\x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1"/>
      <name val="Calibri (Body)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5">
    <xf numFmtId="0" fontId="0" fillId="0" borderId="0" xfId="0"/>
    <xf numFmtId="164" fontId="0" fillId="0" borderId="0" xfId="1" applyFont="1"/>
    <xf numFmtId="44" fontId="0" fillId="0" borderId="0" xfId="1" applyNumberFormat="1" applyFont="1"/>
    <xf numFmtId="44" fontId="0" fillId="0" borderId="0" xfId="0" applyNumberFormat="1"/>
    <xf numFmtId="44" fontId="4" fillId="0" borderId="0" xfId="0" applyNumberFormat="1" applyFont="1"/>
    <xf numFmtId="44" fontId="4" fillId="0" borderId="0" xfId="0" quotePrefix="1" applyNumberFormat="1" applyFont="1"/>
    <xf numFmtId="2" fontId="0" fillId="0" borderId="0" xfId="1" applyNumberFormat="1" applyFont="1"/>
    <xf numFmtId="2" fontId="0" fillId="0" borderId="0" xfId="1" quotePrefix="1" applyNumberFormat="1" applyFont="1"/>
    <xf numFmtId="2" fontId="4" fillId="0" borderId="0" xfId="0" quotePrefix="1" applyNumberFormat="1" applyFont="1"/>
    <xf numFmtId="2" fontId="0" fillId="0" borderId="0" xfId="0" quotePrefix="1" applyNumberFormat="1"/>
    <xf numFmtId="164" fontId="4" fillId="0" borderId="0" xfId="0" applyNumberFormat="1" applyFont="1"/>
    <xf numFmtId="164" fontId="0" fillId="0" borderId="0" xfId="0" applyNumberFormat="1"/>
    <xf numFmtId="164" fontId="0" fillId="0" borderId="0" xfId="1" applyFont="1" applyBorder="1" applyAlignment="1">
      <alignment horizontal="left" indent="8"/>
    </xf>
    <xf numFmtId="44" fontId="0" fillId="0" borderId="0" xfId="1" applyNumberFormat="1" applyFont="1" applyBorder="1" applyAlignment="1">
      <alignment horizontal="left" indent="8"/>
    </xf>
    <xf numFmtId="2" fontId="0" fillId="0" borderId="0" xfId="1" applyNumberFormat="1" applyFont="1" applyBorder="1" applyAlignment="1">
      <alignment horizontal="left" indent="8"/>
    </xf>
    <xf numFmtId="0" fontId="0" fillId="0" borderId="0" xfId="0" applyAlignment="1">
      <alignment horizontal="left" indent="8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6" xfId="0" applyBorder="1" applyAlignment="1">
      <alignment horizontal="center"/>
    </xf>
    <xf numFmtId="2" fontId="0" fillId="0" borderId="8" xfId="0" applyNumberFormat="1" applyBorder="1"/>
    <xf numFmtId="2" fontId="0" fillId="0" borderId="10" xfId="0" applyNumberFormat="1" applyBorder="1"/>
    <xf numFmtId="0" fontId="5" fillId="2" borderId="7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4" xfId="0" applyFont="1" applyFill="1" applyBorder="1" applyAlignment="1">
      <alignment horizontal="right"/>
    </xf>
    <xf numFmtId="2" fontId="7" fillId="2" borderId="4" xfId="0" applyNumberFormat="1" applyFont="1" applyFill="1" applyBorder="1"/>
    <xf numFmtId="2" fontId="7" fillId="2" borderId="9" xfId="0" applyNumberFormat="1" applyFont="1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 vertical="top"/>
    </xf>
    <xf numFmtId="164" fontId="1" fillId="0" borderId="13" xfId="1" applyFont="1" applyBorder="1" applyAlignment="1">
      <alignment horizontal="center" vertical="top"/>
    </xf>
    <xf numFmtId="44" fontId="1" fillId="0" borderId="13" xfId="1" applyNumberFormat="1" applyFont="1" applyBorder="1" applyAlignment="1">
      <alignment horizontal="center" vertical="top"/>
    </xf>
    <xf numFmtId="2" fontId="1" fillId="0" borderId="13" xfId="1" applyNumberFormat="1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15" xfId="0" applyBorder="1"/>
    <xf numFmtId="164" fontId="0" fillId="0" borderId="16" xfId="0" applyNumberFormat="1" applyBorder="1"/>
    <xf numFmtId="44" fontId="0" fillId="0" borderId="16" xfId="0" applyNumberFormat="1" applyBorder="1"/>
    <xf numFmtId="2" fontId="0" fillId="0" borderId="16" xfId="0" quotePrefix="1" applyNumberFormat="1" applyBorder="1"/>
    <xf numFmtId="0" fontId="0" fillId="0" borderId="11" xfId="0" applyBorder="1"/>
    <xf numFmtId="0" fontId="0" fillId="0" borderId="8" xfId="0" applyBorder="1"/>
    <xf numFmtId="0" fontId="0" fillId="0" borderId="8" xfId="0" quotePrefix="1" applyBorder="1"/>
    <xf numFmtId="0" fontId="0" fillId="0" borderId="10" xfId="0" quotePrefix="1" applyBorder="1"/>
    <xf numFmtId="44" fontId="0" fillId="0" borderId="10" xfId="0" applyNumberFormat="1" applyBorder="1"/>
    <xf numFmtId="44" fontId="4" fillId="0" borderId="0" xfId="1" applyNumberFormat="1" applyFont="1"/>
    <xf numFmtId="0" fontId="0" fillId="0" borderId="15" xfId="0" applyBorder="1" applyAlignment="1">
      <alignment horizontal="center"/>
    </xf>
    <xf numFmtId="0" fontId="0" fillId="0" borderId="16" xfId="0" applyBorder="1"/>
    <xf numFmtId="44" fontId="0" fillId="0" borderId="16" xfId="1" applyNumberFormat="1" applyFont="1" applyBorder="1"/>
    <xf numFmtId="2" fontId="0" fillId="0" borderId="16" xfId="0" applyNumberFormat="1" applyBorder="1"/>
    <xf numFmtId="44" fontId="0" fillId="0" borderId="8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44" fontId="7" fillId="2" borderId="7" xfId="1" applyNumberFormat="1" applyFont="1" applyFill="1" applyBorder="1"/>
    <xf numFmtId="44" fontId="7" fillId="2" borderId="18" xfId="1" applyNumberFormat="1" applyFont="1" applyFill="1" applyBorder="1"/>
    <xf numFmtId="0" fontId="5" fillId="2" borderId="18" xfId="0" applyFont="1" applyFill="1" applyBorder="1"/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horizontal="right"/>
    </xf>
    <xf numFmtId="10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2" fontId="3" fillId="2" borderId="9" xfId="0" applyNumberFormat="1" applyFont="1" applyFill="1" applyBorder="1" applyAlignment="1">
      <alignment horizontal="right" vertical="center"/>
    </xf>
    <xf numFmtId="0" fontId="8" fillId="0" borderId="0" xfId="0" applyFont="1"/>
    <xf numFmtId="0" fontId="0" fillId="0" borderId="19" xfId="0" applyBorder="1" applyAlignment="1">
      <alignment vertical="center"/>
    </xf>
    <xf numFmtId="0" fontId="0" fillId="0" borderId="15" xfId="0" applyBorder="1" applyAlignment="1">
      <alignment vertical="center"/>
    </xf>
    <xf numFmtId="2" fontId="0" fillId="0" borderId="20" xfId="0" applyNumberFormat="1" applyBorder="1"/>
    <xf numFmtId="166" fontId="0" fillId="0" borderId="10" xfId="0" applyNumberFormat="1" applyBorder="1"/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67734</xdr:colOff>
      <xdr:row>25</xdr:row>
      <xdr:rowOff>135468</xdr:rowOff>
    </xdr:from>
    <xdr:to>
      <xdr:col>6</xdr:col>
      <xdr:colOff>774075</xdr:colOff>
      <xdr:row>39</xdr:row>
      <xdr:rowOff>170168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04B6E-381B-72B2-7B65-2E93F215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467" y="4605868"/>
          <a:ext cx="7772400" cy="2642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J1048556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4" customWidth="1"/>
    <col min="2" max="2" width="24.33203125" style="1" customWidth="1"/>
    <col min="3" max="3" width="23.1640625" style="2" bestFit="1" customWidth="1"/>
    <col min="4" max="4" width="17" style="2" bestFit="1" customWidth="1"/>
    <col min="5" max="5" width="17" style="6" bestFit="1" customWidth="1"/>
    <col min="6" max="6" width="20.1640625" style="1" bestFit="1" customWidth="1"/>
    <col min="7" max="7" width="18.1640625" style="1" bestFit="1" customWidth="1"/>
    <col min="8" max="8" width="15.33203125" style="1" customWidth="1"/>
    <col min="9" max="9" width="17.6640625" bestFit="1" customWidth="1"/>
    <col min="10" max="10" width="18" customWidth="1"/>
  </cols>
  <sheetData>
    <row r="1" spans="2:10" ht="9" customHeight="1" thickBot="1" x14ac:dyDescent="0.25">
      <c r="B1"/>
      <c r="C1" s="1"/>
      <c r="E1" s="2"/>
      <c r="F1" s="6"/>
      <c r="I1" s="1"/>
    </row>
    <row r="2" spans="2:10" ht="16" thickBot="1" x14ac:dyDescent="0.25">
      <c r="B2" s="36" t="s">
        <v>0</v>
      </c>
      <c r="C2" s="37" t="s">
        <v>1</v>
      </c>
      <c r="D2" s="38" t="s">
        <v>2</v>
      </c>
      <c r="E2" s="38" t="s">
        <v>3</v>
      </c>
      <c r="F2" s="39" t="s">
        <v>4</v>
      </c>
      <c r="G2" s="37" t="s">
        <v>5</v>
      </c>
      <c r="H2" s="37" t="s">
        <v>6</v>
      </c>
      <c r="I2" s="37" t="s">
        <v>7</v>
      </c>
      <c r="J2" s="40" t="s">
        <v>8</v>
      </c>
    </row>
    <row r="3" spans="2:10" x14ac:dyDescent="0.2">
      <c r="B3" s="41" t="s">
        <v>9</v>
      </c>
      <c r="C3" s="1">
        <v>61056000</v>
      </c>
      <c r="D3" s="2">
        <v>16742000</v>
      </c>
      <c r="E3" s="2">
        <v>28780000</v>
      </c>
      <c r="F3" s="7">
        <v>47.14</v>
      </c>
      <c r="G3" s="2">
        <v>5352000</v>
      </c>
      <c r="H3" s="2">
        <v>4126000</v>
      </c>
      <c r="I3" s="2">
        <v>-1226000</v>
      </c>
      <c r="J3" s="47">
        <v>334</v>
      </c>
    </row>
    <row r="4" spans="2:10" x14ac:dyDescent="0.2">
      <c r="B4" s="42" t="s">
        <v>10</v>
      </c>
      <c r="C4" s="1">
        <v>22919421</v>
      </c>
      <c r="D4" s="2">
        <v>4616668</v>
      </c>
      <c r="E4" s="2">
        <v>7417435</v>
      </c>
      <c r="F4" s="7">
        <v>32.36</v>
      </c>
      <c r="G4" s="2">
        <v>8335949</v>
      </c>
      <c r="H4" s="2">
        <v>23008598</v>
      </c>
      <c r="I4" s="2">
        <v>14672649</v>
      </c>
      <c r="J4" s="48">
        <v>196</v>
      </c>
    </row>
    <row r="5" spans="2:10" x14ac:dyDescent="0.2">
      <c r="B5" s="42" t="s">
        <v>11</v>
      </c>
      <c r="C5" s="10">
        <v>5200000</v>
      </c>
      <c r="D5" s="5">
        <v>-250000</v>
      </c>
      <c r="E5" s="4">
        <v>-50000</v>
      </c>
      <c r="F5" s="8">
        <v>-1</v>
      </c>
      <c r="G5" s="2">
        <v>730440</v>
      </c>
      <c r="H5" s="4">
        <v>0</v>
      </c>
      <c r="I5" s="5">
        <v>-730440</v>
      </c>
      <c r="J5" s="48">
        <v>37</v>
      </c>
    </row>
    <row r="6" spans="2:10" x14ac:dyDescent="0.2">
      <c r="B6" s="42" t="s">
        <v>12</v>
      </c>
      <c r="C6" s="11">
        <v>13656986</v>
      </c>
      <c r="D6" s="3">
        <v>1792977</v>
      </c>
      <c r="E6" s="3">
        <v>3261578</v>
      </c>
      <c r="F6" s="9">
        <v>23.9</v>
      </c>
      <c r="G6" s="3">
        <v>5226036</v>
      </c>
      <c r="H6" s="3">
        <v>6268005</v>
      </c>
      <c r="I6" s="3">
        <v>-1041969</v>
      </c>
      <c r="J6" s="49">
        <v>55</v>
      </c>
    </row>
    <row r="7" spans="2:10" x14ac:dyDescent="0.2">
      <c r="B7" s="42" t="s">
        <v>13</v>
      </c>
      <c r="C7" s="10">
        <v>4600000</v>
      </c>
      <c r="D7" s="4">
        <v>1150000</v>
      </c>
      <c r="E7" s="5">
        <v>1350000</v>
      </c>
      <c r="F7" s="8">
        <v>29.3</v>
      </c>
      <c r="G7" s="3">
        <v>875976</v>
      </c>
      <c r="H7" s="4">
        <v>0</v>
      </c>
      <c r="I7" s="5">
        <v>-875976</v>
      </c>
      <c r="J7" s="48">
        <v>48</v>
      </c>
    </row>
    <row r="8" spans="2:10" x14ac:dyDescent="0.2">
      <c r="B8" s="43" t="s">
        <v>14</v>
      </c>
      <c r="C8" s="44">
        <v>10095903</v>
      </c>
      <c r="D8" s="45">
        <v>209234</v>
      </c>
      <c r="E8" s="45">
        <v>232206</v>
      </c>
      <c r="F8" s="46">
        <v>2.2999999999999998</v>
      </c>
      <c r="G8" s="45">
        <v>881536</v>
      </c>
      <c r="H8" s="45">
        <v>606635</v>
      </c>
      <c r="I8" s="45">
        <v>274901</v>
      </c>
      <c r="J8" s="50">
        <v>62</v>
      </c>
    </row>
    <row r="9" spans="2:10" x14ac:dyDescent="0.2">
      <c r="B9" s="15"/>
      <c r="C9" s="12"/>
      <c r="D9" s="13"/>
      <c r="E9" s="13"/>
      <c r="F9" s="14"/>
      <c r="G9" s="12"/>
      <c r="H9" s="12"/>
      <c r="I9" s="12"/>
      <c r="J9" s="15"/>
    </row>
    <row r="10" spans="2:10" x14ac:dyDescent="0.2">
      <c r="B10" s="15"/>
      <c r="C10" s="16" t="s">
        <v>15</v>
      </c>
      <c r="D10" s="13"/>
      <c r="E10" s="13"/>
      <c r="F10" s="14"/>
      <c r="G10" s="12"/>
      <c r="H10" s="12"/>
      <c r="I10" s="12"/>
      <c r="J10" s="15"/>
    </row>
    <row r="11" spans="2:10" x14ac:dyDescent="0.2">
      <c r="B11" s="15"/>
      <c r="C11" s="16" t="s">
        <v>18</v>
      </c>
      <c r="D11" s="13"/>
      <c r="E11" s="13"/>
      <c r="F11" s="14"/>
      <c r="G11" s="12"/>
      <c r="H11" s="12"/>
      <c r="I11" s="12"/>
      <c r="J11" s="15"/>
    </row>
    <row r="12" spans="2:10" x14ac:dyDescent="0.2">
      <c r="B12" s="15"/>
      <c r="C12" s="16"/>
      <c r="D12" s="13"/>
      <c r="E12" s="13"/>
      <c r="F12" s="14"/>
      <c r="G12" s="12"/>
      <c r="H12" s="12"/>
      <c r="I12" s="12"/>
      <c r="J12" s="15"/>
    </row>
    <row r="13" spans="2:10" x14ac:dyDescent="0.2">
      <c r="B13" s="15"/>
      <c r="C13" s="16" t="s">
        <v>16</v>
      </c>
      <c r="D13" s="13"/>
      <c r="E13" s="13"/>
      <c r="F13" s="14"/>
      <c r="G13" s="12"/>
      <c r="H13" s="12"/>
      <c r="I13" s="12"/>
      <c r="J13" s="15"/>
    </row>
    <row r="14" spans="2:10" x14ac:dyDescent="0.2">
      <c r="B14" s="15"/>
      <c r="C14" s="16" t="s">
        <v>17</v>
      </c>
      <c r="D14" s="13"/>
      <c r="E14" s="13"/>
      <c r="F14" s="14"/>
      <c r="G14" s="12"/>
      <c r="H14" s="12"/>
      <c r="I14" s="12"/>
      <c r="J14" s="15"/>
    </row>
    <row r="15" spans="2:10" x14ac:dyDescent="0.2">
      <c r="B15" s="15"/>
      <c r="C15" s="12"/>
      <c r="D15" s="13"/>
      <c r="E15" s="13"/>
      <c r="F15" s="14"/>
      <c r="G15" s="12"/>
      <c r="H15" s="12"/>
      <c r="I15" s="12"/>
      <c r="J15" s="15"/>
    </row>
    <row r="16" spans="2:10" x14ac:dyDescent="0.2">
      <c r="B16" s="15"/>
      <c r="C16" s="12"/>
      <c r="D16" s="13"/>
      <c r="E16" s="13"/>
      <c r="F16" s="14"/>
      <c r="G16" s="12"/>
      <c r="H16" s="12"/>
      <c r="I16" s="12"/>
      <c r="J16" s="15"/>
    </row>
    <row r="17" spans="2:9" x14ac:dyDescent="0.2">
      <c r="B17"/>
      <c r="C17" s="1"/>
      <c r="E17" s="2"/>
      <c r="F17" s="6"/>
      <c r="I17" s="1"/>
    </row>
    <row r="18" spans="2:9" x14ac:dyDescent="0.2">
      <c r="B18"/>
      <c r="C18" s="1"/>
      <c r="E18" s="2"/>
      <c r="F18" s="6"/>
      <c r="I18" s="1"/>
    </row>
    <row r="1048556" spans="2:4" x14ac:dyDescent="0.2">
      <c r="B1048556" s="1">
        <f>SUM(B1:B1048555)</f>
        <v>0</v>
      </c>
      <c r="D1048556" s="2">
        <f>SUM(D1:D1048555)</f>
        <v>24260879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9B41-7CE6-6545-99FE-98FA5571ECD1}">
  <sheetPr>
    <tabColor rgb="FF7030A0"/>
  </sheetPr>
  <dimension ref="B1:O25"/>
  <sheetViews>
    <sheetView topLeftCell="A11" zoomScaleNormal="100" workbookViewId="0">
      <selection activeCell="B10" sqref="B10"/>
    </sheetView>
  </sheetViews>
  <sheetFormatPr baseColWidth="10" defaultRowHeight="15" x14ac:dyDescent="0.2"/>
  <cols>
    <col min="2" max="2" width="22.6640625" customWidth="1"/>
    <col min="3" max="3" width="23.33203125" customWidth="1"/>
    <col min="4" max="4" width="11.83203125" customWidth="1"/>
    <col min="5" max="5" width="12.1640625" style="19" customWidth="1"/>
    <col min="6" max="6" width="22.6640625" customWidth="1"/>
    <col min="7" max="7" width="14.6640625" style="19" customWidth="1"/>
    <col min="8" max="8" width="13.6640625" style="19" customWidth="1"/>
    <col min="9" max="9" width="12.1640625" style="19" customWidth="1"/>
    <col min="10" max="10" width="18.6640625" style="19" customWidth="1"/>
    <col min="11" max="11" width="12.83203125" customWidth="1"/>
    <col min="12" max="12" width="14.6640625" customWidth="1"/>
  </cols>
  <sheetData>
    <row r="1" spans="2:15" ht="16" thickBot="1" x14ac:dyDescent="0.25"/>
    <row r="2" spans="2:15" ht="16" thickBot="1" x14ac:dyDescent="0.25">
      <c r="B2" s="32" t="s">
        <v>33</v>
      </c>
      <c r="C2" s="33" t="s">
        <v>19</v>
      </c>
      <c r="D2" s="33" t="s">
        <v>20</v>
      </c>
      <c r="E2" s="34" t="s">
        <v>40</v>
      </c>
      <c r="F2" s="33" t="s">
        <v>21</v>
      </c>
      <c r="G2" s="34" t="s">
        <v>41</v>
      </c>
      <c r="H2" s="34" t="s">
        <v>42</v>
      </c>
      <c r="I2" s="34" t="s">
        <v>43</v>
      </c>
      <c r="J2" s="34" t="s">
        <v>44</v>
      </c>
      <c r="K2" s="33" t="s">
        <v>22</v>
      </c>
      <c r="L2" s="35" t="s">
        <v>23</v>
      </c>
      <c r="N2" s="17">
        <v>0.75</v>
      </c>
      <c r="O2" s="17" t="s">
        <v>38</v>
      </c>
    </row>
    <row r="3" spans="2:15" x14ac:dyDescent="0.2">
      <c r="B3" s="81" t="s">
        <v>35</v>
      </c>
      <c r="C3" t="s">
        <v>24</v>
      </c>
      <c r="D3" t="s">
        <v>28</v>
      </c>
      <c r="E3" s="20">
        <v>337</v>
      </c>
      <c r="F3" s="21">
        <v>8.5000000000000006E-2</v>
      </c>
      <c r="G3" s="20">
        <v>351.3</v>
      </c>
      <c r="H3" s="20">
        <v>27</v>
      </c>
      <c r="I3" s="20">
        <v>84.8</v>
      </c>
      <c r="J3" s="20">
        <f>G3+H3</f>
        <v>378.3</v>
      </c>
      <c r="K3" s="20">
        <f>J3/E3</f>
        <v>1.1225519287833827</v>
      </c>
      <c r="L3" s="23">
        <f>J3/I3</f>
        <v>4.4610849056603774</v>
      </c>
      <c r="N3" s="17">
        <v>0.87</v>
      </c>
      <c r="O3" s="17" t="s">
        <v>39</v>
      </c>
    </row>
    <row r="4" spans="2:15" x14ac:dyDescent="0.2">
      <c r="B4" s="82"/>
      <c r="C4" t="s">
        <v>25</v>
      </c>
      <c r="D4" t="s">
        <v>28</v>
      </c>
      <c r="E4" s="20">
        <v>220.6</v>
      </c>
      <c r="F4" s="21">
        <v>7.0000000000000001E-3</v>
      </c>
      <c r="G4" s="20">
        <v>821.1</v>
      </c>
      <c r="H4" s="20">
        <v>-96.6</v>
      </c>
      <c r="I4" s="20">
        <v>73.3</v>
      </c>
      <c r="J4" s="20">
        <f>G4+H4</f>
        <v>724.5</v>
      </c>
      <c r="K4" s="20">
        <f>J4/E4</f>
        <v>3.2842248413417954</v>
      </c>
      <c r="L4" s="23">
        <f t="shared" ref="L4:L10" si="0">J4/I4</f>
        <v>9.8840381991814468</v>
      </c>
    </row>
    <row r="5" spans="2:15" ht="16" thickBot="1" x14ac:dyDescent="0.25">
      <c r="B5" s="25"/>
      <c r="C5" s="26" t="s">
        <v>45</v>
      </c>
      <c r="D5" s="27" t="s">
        <v>46</v>
      </c>
      <c r="E5" s="27" t="s">
        <v>46</v>
      </c>
      <c r="F5" s="27" t="s">
        <v>46</v>
      </c>
      <c r="G5" s="27" t="s">
        <v>46</v>
      </c>
      <c r="H5" s="27" t="s">
        <v>46</v>
      </c>
      <c r="I5" s="27" t="s">
        <v>46</v>
      </c>
      <c r="J5" s="27" t="s">
        <v>46</v>
      </c>
      <c r="K5" s="28">
        <f>AVERAGE(K3:K4)</f>
        <v>2.2033883850625893</v>
      </c>
      <c r="L5" s="29">
        <f>AVERAGE(L3:L4)</f>
        <v>7.1725615524209125</v>
      </c>
    </row>
    <row r="6" spans="2:15" ht="16" thickTop="1" x14ac:dyDescent="0.2">
      <c r="B6" s="83" t="s">
        <v>36</v>
      </c>
      <c r="C6" t="s">
        <v>26</v>
      </c>
      <c r="D6" t="s">
        <v>28</v>
      </c>
      <c r="E6" s="20">
        <v>15</v>
      </c>
      <c r="F6" s="21">
        <v>-1E-3</v>
      </c>
      <c r="G6" s="20">
        <v>19.2</v>
      </c>
      <c r="H6" s="20">
        <v>-0.4</v>
      </c>
      <c r="I6" s="20">
        <v>3.9</v>
      </c>
      <c r="J6" s="20">
        <f>G6+H6</f>
        <v>18.8</v>
      </c>
      <c r="K6" s="20">
        <f>J6/E6</f>
        <v>1.2533333333333334</v>
      </c>
      <c r="L6" s="23">
        <f t="shared" si="0"/>
        <v>4.8205128205128212</v>
      </c>
    </row>
    <row r="7" spans="2:15" x14ac:dyDescent="0.2">
      <c r="B7" s="84"/>
      <c r="C7" t="s">
        <v>27</v>
      </c>
      <c r="D7" t="s">
        <v>29</v>
      </c>
      <c r="E7" s="20">
        <f>1025*$N$2</f>
        <v>768.75</v>
      </c>
      <c r="F7" s="21">
        <v>1E-3</v>
      </c>
      <c r="G7" s="20">
        <f>723*$N$2</f>
        <v>542.25</v>
      </c>
      <c r="H7" s="20">
        <v>1017</v>
      </c>
      <c r="I7" s="20">
        <f>362.8*$N$2</f>
        <v>272.10000000000002</v>
      </c>
      <c r="J7" s="20">
        <f>G7+H7</f>
        <v>1559.25</v>
      </c>
      <c r="K7" s="20">
        <f>J7/E7</f>
        <v>2.0282926829268293</v>
      </c>
      <c r="L7" s="23">
        <f t="shared" si="0"/>
        <v>5.7304299889746408</v>
      </c>
    </row>
    <row r="8" spans="2:15" x14ac:dyDescent="0.2">
      <c r="B8" s="84"/>
      <c r="C8" t="s">
        <v>30</v>
      </c>
      <c r="D8" t="s">
        <v>29</v>
      </c>
      <c r="E8" s="20">
        <f>753.9*$N$2</f>
        <v>565.42499999999995</v>
      </c>
      <c r="F8" s="21">
        <v>0.128</v>
      </c>
      <c r="G8" s="20">
        <f>6120*$N$2</f>
        <v>4590</v>
      </c>
      <c r="H8" s="20">
        <v>-370</v>
      </c>
      <c r="I8" s="20">
        <f>319.7*$N$2</f>
        <v>239.77499999999998</v>
      </c>
      <c r="J8" s="20">
        <f>G8+H8</f>
        <v>4220</v>
      </c>
      <c r="K8" s="20">
        <f>J8/E8</f>
        <v>7.4634124773400545</v>
      </c>
      <c r="L8" s="23">
        <f t="shared" si="0"/>
        <v>17.599833176936713</v>
      </c>
    </row>
    <row r="9" spans="2:15" ht="16" thickBot="1" x14ac:dyDescent="0.25">
      <c r="B9" s="30"/>
      <c r="C9" s="26" t="s">
        <v>45</v>
      </c>
      <c r="D9" s="27" t="s">
        <v>46</v>
      </c>
      <c r="E9" s="27" t="s">
        <v>46</v>
      </c>
      <c r="F9" s="27" t="s">
        <v>46</v>
      </c>
      <c r="G9" s="27" t="s">
        <v>46</v>
      </c>
      <c r="H9" s="27" t="s">
        <v>46</v>
      </c>
      <c r="I9" s="27" t="s">
        <v>46</v>
      </c>
      <c r="J9" s="27" t="s">
        <v>46</v>
      </c>
      <c r="K9" s="28">
        <f>AVERAGE(K7:K8)</f>
        <v>4.7458525801334419</v>
      </c>
      <c r="L9" s="29">
        <f>AVERAGE(L7:L8)</f>
        <v>11.665131582955677</v>
      </c>
    </row>
    <row r="10" spans="2:15" ht="16" thickTop="1" x14ac:dyDescent="0.2">
      <c r="B10" s="22" t="s">
        <v>34</v>
      </c>
      <c r="C10" t="s">
        <v>31</v>
      </c>
      <c r="D10" t="s">
        <v>32</v>
      </c>
      <c r="E10" s="20">
        <f>435.6*$N$3</f>
        <v>378.97200000000004</v>
      </c>
      <c r="F10" s="21">
        <v>-7.3999999999999996E-2</v>
      </c>
      <c r="G10" s="20">
        <f>333.5*$N$3</f>
        <v>290.14499999999998</v>
      </c>
      <c r="H10" s="20">
        <v>20.7</v>
      </c>
      <c r="I10" s="20">
        <f>26.5*$N$3</f>
        <v>23.055</v>
      </c>
      <c r="J10" s="20">
        <f>G10+H10</f>
        <v>310.84499999999997</v>
      </c>
      <c r="K10" s="20">
        <f>J10/E10</f>
        <v>0.82023210158006377</v>
      </c>
      <c r="L10" s="24">
        <f t="shared" si="0"/>
        <v>13.482758620689655</v>
      </c>
    </row>
    <row r="11" spans="2:15" ht="16" thickBot="1" x14ac:dyDescent="0.25">
      <c r="B11" s="31"/>
      <c r="C11" s="26" t="s">
        <v>45</v>
      </c>
      <c r="D11" s="27" t="s">
        <v>46</v>
      </c>
      <c r="E11" s="27" t="s">
        <v>46</v>
      </c>
      <c r="F11" s="27" t="s">
        <v>46</v>
      </c>
      <c r="G11" s="27" t="s">
        <v>46</v>
      </c>
      <c r="H11" s="27" t="s">
        <v>46</v>
      </c>
      <c r="I11" s="27" t="s">
        <v>46</v>
      </c>
      <c r="J11" s="27" t="s">
        <v>46</v>
      </c>
      <c r="K11" s="28">
        <f>K10</f>
        <v>0.82023210158006377</v>
      </c>
      <c r="L11" s="29">
        <f>L10</f>
        <v>13.482758620689655</v>
      </c>
    </row>
    <row r="12" spans="2:15" ht="16" thickTop="1" x14ac:dyDescent="0.2"/>
    <row r="25" spans="2:2" ht="26" x14ac:dyDescent="0.3">
      <c r="B25" s="18" t="s">
        <v>37</v>
      </c>
    </row>
  </sheetData>
  <mergeCells count="2">
    <mergeCell ref="B3:B4"/>
    <mergeCell ref="B6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A6ED-BB20-EB42-9FBE-3C00A39E4ABB}">
  <sheetPr>
    <tabColor rgb="FF7030A0"/>
  </sheetPr>
  <dimension ref="B1:I26"/>
  <sheetViews>
    <sheetView tabSelected="1" zoomScale="90" zoomScaleNormal="100" workbookViewId="0">
      <selection activeCell="B15" sqref="B15"/>
    </sheetView>
  </sheetViews>
  <sheetFormatPr baseColWidth="10" defaultRowHeight="15" x14ac:dyDescent="0.2"/>
  <cols>
    <col min="1" max="1" width="1.1640625" customWidth="1"/>
    <col min="2" max="2" width="23.5" customWidth="1"/>
    <col min="3" max="3" width="23.83203125" customWidth="1"/>
    <col min="4" max="4" width="14.33203125" customWidth="1"/>
    <col min="5" max="5" width="22.83203125" customWidth="1"/>
    <col min="6" max="6" width="24.5" customWidth="1"/>
    <col min="7" max="7" width="25.5" customWidth="1"/>
    <col min="8" max="8" width="28" customWidth="1"/>
    <col min="9" max="9" width="21.33203125" customWidth="1"/>
  </cols>
  <sheetData>
    <row r="1" spans="2:9" ht="7" customHeight="1" x14ac:dyDescent="0.2"/>
    <row r="2" spans="2:9" x14ac:dyDescent="0.2">
      <c r="B2" s="74" t="s">
        <v>60</v>
      </c>
    </row>
    <row r="3" spans="2:9" ht="16" thickBot="1" x14ac:dyDescent="0.25"/>
    <row r="4" spans="2:9" ht="16" thickBot="1" x14ac:dyDescent="0.25">
      <c r="B4" s="58" t="s">
        <v>33</v>
      </c>
      <c r="C4" s="59" t="s">
        <v>47</v>
      </c>
      <c r="D4" s="59" t="s">
        <v>43</v>
      </c>
      <c r="E4" s="59" t="s">
        <v>48</v>
      </c>
      <c r="F4" s="59" t="s">
        <v>49</v>
      </c>
      <c r="G4" s="60" t="s">
        <v>50</v>
      </c>
      <c r="H4" s="61" t="s">
        <v>51</v>
      </c>
      <c r="I4" s="62" t="s">
        <v>53</v>
      </c>
    </row>
    <row r="5" spans="2:9" x14ac:dyDescent="0.2">
      <c r="B5" s="81" t="s">
        <v>35</v>
      </c>
      <c r="C5" t="s">
        <v>9</v>
      </c>
      <c r="D5" s="2">
        <f>'Target Financials'!E3/1000000</f>
        <v>28.78</v>
      </c>
      <c r="E5" t="s">
        <v>52</v>
      </c>
      <c r="F5" s="3">
        <f>D5*6</f>
        <v>172.68</v>
      </c>
      <c r="G5" s="20">
        <f>CCA!L5</f>
        <v>7.1725615524209125</v>
      </c>
      <c r="H5" s="3">
        <f>D5*G5</f>
        <v>206.42632147867388</v>
      </c>
      <c r="I5" s="57">
        <f>H5-F5</f>
        <v>33.746321478673877</v>
      </c>
    </row>
    <row r="6" spans="2:9" x14ac:dyDescent="0.2">
      <c r="B6" s="82"/>
      <c r="C6" t="s">
        <v>10</v>
      </c>
      <c r="D6" s="2">
        <f>'Target Financials'!E4/1000000</f>
        <v>7.4174350000000002</v>
      </c>
      <c r="E6" t="s">
        <v>52</v>
      </c>
      <c r="F6" s="3">
        <f t="shared" ref="F6:F10" si="0">D6*6</f>
        <v>44.50461</v>
      </c>
      <c r="G6" s="20">
        <f>CCA!L5</f>
        <v>7.1725615524209125</v>
      </c>
      <c r="H6" s="3">
        <f t="shared" ref="H6:H10" si="1">D6*G6</f>
        <v>53.202009098581215</v>
      </c>
      <c r="I6" s="57">
        <f t="shared" ref="I6:I10" si="2">H6-F6</f>
        <v>8.6973990985812151</v>
      </c>
    </row>
    <row r="7" spans="2:9" x14ac:dyDescent="0.2">
      <c r="B7" s="83" t="s">
        <v>36</v>
      </c>
      <c r="C7" t="s">
        <v>11</v>
      </c>
      <c r="D7" s="2">
        <f>'Target Financials'!E5/1000000</f>
        <v>-0.05</v>
      </c>
      <c r="E7" t="s">
        <v>52</v>
      </c>
      <c r="F7" s="3">
        <f t="shared" si="0"/>
        <v>-0.30000000000000004</v>
      </c>
      <c r="G7" s="20">
        <f>CCA!L9</f>
        <v>11.665131582955677</v>
      </c>
      <c r="H7" s="3">
        <f t="shared" si="1"/>
        <v>-0.58325657914778384</v>
      </c>
      <c r="I7" s="57">
        <f t="shared" si="2"/>
        <v>-0.28325657914778379</v>
      </c>
    </row>
    <row r="8" spans="2:9" ht="15" customHeight="1" x14ac:dyDescent="0.2">
      <c r="B8" s="84"/>
      <c r="C8" t="s">
        <v>12</v>
      </c>
      <c r="D8" s="2">
        <f>'Target Financials'!E6/1000000</f>
        <v>3.2615780000000001</v>
      </c>
      <c r="E8" t="s">
        <v>52</v>
      </c>
      <c r="F8" s="3">
        <f t="shared" si="0"/>
        <v>19.569468000000001</v>
      </c>
      <c r="G8" s="20">
        <f>CCA!L9</f>
        <v>11.665131582955677</v>
      </c>
      <c r="H8" s="3">
        <f t="shared" si="1"/>
        <v>38.046736538073411</v>
      </c>
      <c r="I8" s="57">
        <f t="shared" si="2"/>
        <v>18.47726853807341</v>
      </c>
    </row>
    <row r="9" spans="2:9" x14ac:dyDescent="0.2">
      <c r="B9" s="84"/>
      <c r="C9" t="s">
        <v>13</v>
      </c>
      <c r="D9" s="2">
        <f>'Target Financials'!E7/1000000</f>
        <v>1.35</v>
      </c>
      <c r="E9" t="s">
        <v>52</v>
      </c>
      <c r="F9" s="3">
        <f t="shared" si="0"/>
        <v>8.1000000000000014</v>
      </c>
      <c r="G9" s="20">
        <f>CCA!L9</f>
        <v>11.665131582955677</v>
      </c>
      <c r="H9" s="3">
        <f t="shared" si="1"/>
        <v>15.747927636990164</v>
      </c>
      <c r="I9" s="57">
        <f t="shared" si="2"/>
        <v>7.647927636990163</v>
      </c>
    </row>
    <row r="10" spans="2:9" x14ac:dyDescent="0.2">
      <c r="B10" s="53" t="s">
        <v>34</v>
      </c>
      <c r="C10" s="54" t="s">
        <v>14</v>
      </c>
      <c r="D10" s="55">
        <f>'Target Financials'!E8/1000000</f>
        <v>0.232206</v>
      </c>
      <c r="E10" s="54" t="s">
        <v>52</v>
      </c>
      <c r="F10" s="45">
        <f t="shared" si="0"/>
        <v>1.3932359999999999</v>
      </c>
      <c r="G10" s="56">
        <f>CCA!L11</f>
        <v>13.482758620689655</v>
      </c>
      <c r="H10" s="45">
        <f t="shared" si="1"/>
        <v>3.1307774482758619</v>
      </c>
      <c r="I10" s="51">
        <f t="shared" si="2"/>
        <v>1.737541448275862</v>
      </c>
    </row>
    <row r="11" spans="2:9" ht="16" thickBot="1" x14ac:dyDescent="0.25">
      <c r="B11" s="25" t="s">
        <v>64</v>
      </c>
      <c r="C11" s="65"/>
      <c r="D11" s="64">
        <f>SUM(D5:D10)</f>
        <v>40.991219000000001</v>
      </c>
      <c r="E11" s="64"/>
      <c r="F11" s="64">
        <f t="shared" ref="F11:I11" si="3">SUM(F5:F10)</f>
        <v>245.94731400000001</v>
      </c>
      <c r="G11" s="64"/>
      <c r="H11" s="63">
        <f t="shared" si="3"/>
        <v>315.97051562144674</v>
      </c>
      <c r="I11" s="64">
        <f t="shared" si="3"/>
        <v>70.023201621446745</v>
      </c>
    </row>
    <row r="12" spans="2:9" ht="16" thickTop="1" x14ac:dyDescent="0.2"/>
    <row r="15" spans="2:9" x14ac:dyDescent="0.2">
      <c r="B15" t="s">
        <v>65</v>
      </c>
    </row>
    <row r="16" spans="2:9" x14ac:dyDescent="0.2">
      <c r="B16" t="s">
        <v>54</v>
      </c>
    </row>
    <row r="18" spans="2:4" x14ac:dyDescent="0.2">
      <c r="B18" s="74" t="s">
        <v>61</v>
      </c>
      <c r="D18" s="52"/>
    </row>
    <row r="19" spans="2:4" ht="16" thickBot="1" x14ac:dyDescent="0.25"/>
    <row r="20" spans="2:4" ht="16" thickBot="1" x14ac:dyDescent="0.25">
      <c r="B20" s="66" t="s">
        <v>59</v>
      </c>
      <c r="C20" s="67"/>
    </row>
    <row r="21" spans="2:4" x14ac:dyDescent="0.2">
      <c r="B21" s="68" t="s">
        <v>58</v>
      </c>
      <c r="C21" s="70">
        <v>3.5</v>
      </c>
    </row>
    <row r="22" spans="2:4" x14ac:dyDescent="0.2">
      <c r="B22" s="69" t="s">
        <v>55</v>
      </c>
      <c r="C22" s="71">
        <v>7.0000000000000007E-2</v>
      </c>
    </row>
    <row r="23" spans="2:4" x14ac:dyDescent="0.2">
      <c r="B23" s="69" t="s">
        <v>56</v>
      </c>
      <c r="C23" s="72">
        <v>5</v>
      </c>
    </row>
    <row r="24" spans="2:4" ht="38" customHeight="1" thickBot="1" x14ac:dyDescent="0.25">
      <c r="B24" s="79" t="s">
        <v>57</v>
      </c>
      <c r="C24" s="80"/>
      <c r="D24" s="73">
        <f>D11*C21</f>
        <v>143.4692665</v>
      </c>
    </row>
    <row r="25" spans="2:4" ht="16" thickTop="1" x14ac:dyDescent="0.2">
      <c r="B25" s="75" t="s">
        <v>62</v>
      </c>
      <c r="C25" s="77">
        <f>D24*C22</f>
        <v>10.042848655000002</v>
      </c>
    </row>
    <row r="26" spans="2:4" x14ac:dyDescent="0.2">
      <c r="B26" s="76" t="s">
        <v>63</v>
      </c>
      <c r="C26" s="78">
        <f>D11/C25</f>
        <v>4.0816326530612237</v>
      </c>
    </row>
  </sheetData>
  <mergeCells count="3">
    <mergeCell ref="B24:C24"/>
    <mergeCell ref="B5:B6"/>
    <mergeCell ref="B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Financials</vt:lpstr>
      <vt:lpstr>CCA</vt:lpstr>
      <vt:lpstr>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Stead</dc:creator>
  <cp:lastModifiedBy>Henry Stead</cp:lastModifiedBy>
  <dcterms:created xsi:type="dcterms:W3CDTF">2026-06-16T08:01:40Z</dcterms:created>
  <dcterms:modified xsi:type="dcterms:W3CDTF">2026-06-19T07:55:25Z</dcterms:modified>
</cp:coreProperties>
</file>